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 cabina" sheetId="1" state="visible" r:id="rId1"/>
    <sheet xmlns:r="http://schemas.openxmlformats.org/officeDocument/2006/relationships" name="Mi plan" sheetId="2" state="visible" r:id="rId2"/>
    <sheet xmlns:r="http://schemas.openxmlformats.org/officeDocument/2006/relationships" name="Mis lecturas" sheetId="3" state="visible" r:id="rId3"/>
    <sheet xmlns:r="http://schemas.openxmlformats.org/officeDocument/2006/relationships" name="Mi preparación" sheetId="4" state="visible" r:id="rId4"/>
    <sheet xmlns:r="http://schemas.openxmlformats.org/officeDocument/2006/relationships" name="Mi Radar IA" sheetId="5" state="visible" r:id="rId5"/>
    <sheet xmlns:r="http://schemas.openxmlformats.org/officeDocument/2006/relationships" name="Mis metas" sheetId="6" state="visible" r:id="rId6"/>
    <sheet xmlns:r="http://schemas.openxmlformats.org/officeDocument/2006/relationships" name="Mis compromisos" sheetId="7" state="visible" r:id="rId7"/>
    <sheet xmlns:r="http://schemas.openxmlformats.org/officeDocument/2006/relationships" name="Mis avances" sheetId="8" state="visible" r:id="rId8"/>
    <sheet xmlns:r="http://schemas.openxmlformats.org/officeDocument/2006/relationships" name="Acuerdo" sheetId="9" state="visible" r:id="rId9"/>
    <sheet xmlns:r="http://schemas.openxmlformats.org/officeDocument/2006/relationships" name="Ideas de metas" sheetId="10" state="visible" r:id="rId10"/>
    <sheet xmlns:r="http://schemas.openxmlformats.org/officeDocument/2006/relationships" name="_info" sheetId="11" state="very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family val="2"/>
      <color theme="1"/>
      <sz val="11"/>
      <scheme val="minor"/>
    </font>
    <font>
      <name val="Calibri"/>
      <b val="1"/>
      <color rgb="002563EB"/>
      <sz val="9"/>
    </font>
    <font>
      <name val="Calibri"/>
      <b val="1"/>
      <color rgb="000A1A3F"/>
      <sz val="2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color rgb="000A1A3F"/>
      <sz val="10"/>
    </font>
    <font>
      <name val="Calibri"/>
      <color rgb="002563EB"/>
      <sz val="10"/>
      <u val="single"/>
    </font>
    <font>
      <name val="Calibri"/>
      <b val="1"/>
      <color rgb="000A1A3F"/>
      <sz val="10"/>
    </font>
    <font>
      <name val="Calibri"/>
      <b val="1"/>
      <color rgb="000A1A3F"/>
      <sz val="12"/>
    </font>
    <font>
      <name val="Calibri"/>
      <b val="1"/>
      <color rgb="000A1A3F"/>
      <sz val="26"/>
    </font>
    <font>
      <name val="Calibri"/>
      <color rgb="0064748B"/>
      <sz val="11"/>
    </font>
    <font>
      <name val="Calibri"/>
      <b val="1"/>
      <color rgb="0064748B"/>
      <sz val="8"/>
    </font>
    <font>
      <name val="Calibri"/>
      <b val="1"/>
      <color rgb="000A1A3F"/>
      <sz val="24"/>
    </font>
    <font>
      <name val="Calibri"/>
      <color rgb="0064748B"/>
      <sz val="9"/>
    </font>
    <font>
      <name val="Calibri"/>
      <b val="1"/>
      <color rgb="000A1A3F"/>
      <sz val="9"/>
    </font>
    <font>
      <name val="Calibri"/>
      <b val="1"/>
      <color rgb="002563EB"/>
      <sz val="10"/>
    </font>
    <font>
      <name val="Calibri"/>
      <i val="1"/>
      <color rgb="0064748B"/>
      <sz val="10"/>
    </font>
    <font>
      <name val="Calibri"/>
      <b val="1"/>
      <color rgb="0060A5FA"/>
      <sz val="9"/>
    </font>
  </fonts>
  <fills count="7">
    <fill>
      <patternFill/>
    </fill>
    <fill>
      <patternFill patternType="gray125"/>
    </fill>
    <fill>
      <patternFill patternType="solid">
        <fgColor rgb="000A1A3F"/>
      </patternFill>
    </fill>
    <fill>
      <patternFill patternType="solid">
        <fgColor rgb="00F4F7FD"/>
      </patternFill>
    </fill>
    <fill>
      <patternFill patternType="solid">
        <fgColor rgb="00F5F8FF"/>
      </patternFill>
    </fill>
    <fill>
      <patternFill patternType="solid">
        <fgColor rgb="00E0ECFF"/>
      </patternFill>
    </fill>
    <fill>
      <patternFill patternType="solid">
        <fgColor rgb="00EEF3FB"/>
      </patternFill>
    </fill>
  </fills>
  <borders count="14">
    <border>
      <left/>
      <right/>
      <top/>
      <bottom/>
      <diagonal/>
    </border>
    <border>
      <left style="thin">
        <color rgb="00D6E2F5"/>
      </left>
      <right style="thin">
        <color rgb="00D6E2F5"/>
      </right>
      <top style="thin">
        <color rgb="00D6E2F5"/>
      </top>
      <bottom style="thin">
        <color rgb="00D6E2F5"/>
      </bottom>
    </border>
    <border>
      <bottom style="thick">
        <color rgb="002563EB"/>
      </bottom>
    </border>
    <border>
      <left style="thin">
        <color rgb="00D6E2F5"/>
      </left>
      <top style="thick">
        <color rgb="002563EB"/>
      </top>
    </border>
    <border>
      <right style="thin">
        <color rgb="00D6E2F5"/>
      </right>
      <top style="thick">
        <color rgb="002563EB"/>
      </top>
    </border>
    <border>
      <left style="thin">
        <color rgb="00D6E2F5"/>
      </left>
    </border>
    <border>
      <right style="thin">
        <color rgb="00D6E2F5"/>
      </right>
    </border>
    <border>
      <left style="thin">
        <color rgb="00D6E2F5"/>
      </left>
      <bottom style="thin">
        <color rgb="00D6E2F5"/>
      </bottom>
    </border>
    <border>
      <right style="thin">
        <color rgb="00D6E2F5"/>
      </right>
      <bottom style="thin">
        <color rgb="00D6E2F5"/>
      </bottom>
    </border>
    <border>
      <left style="thin">
        <color rgb="00D6E2F5"/>
      </left>
      <top style="thin">
        <color rgb="00D6E2F5"/>
      </top>
    </border>
    <border>
      <top style="thin">
        <color rgb="00D6E2F5"/>
      </top>
    </border>
    <border>
      <right style="thin">
        <color rgb="00D6E2F5"/>
      </right>
      <top style="thin">
        <color rgb="00D6E2F5"/>
      </top>
    </border>
    <border>
      <bottom style="thin">
        <color rgb="00D6E2F5"/>
      </bottom>
    </border>
    <border/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2" pivotButton="0" quotePrefix="0" xfId="0"/>
    <xf numFmtId="0" fontId="11" fillId="4" borderId="3" applyAlignment="1" pivotButton="0" quotePrefix="0" xfId="0">
      <alignment vertical="bottom" indent="1"/>
    </xf>
    <xf numFmtId="0" fontId="11" fillId="4" borderId="4" applyAlignment="1" pivotButton="0" quotePrefix="0" xfId="0">
      <alignment vertical="bottom" indent="1"/>
    </xf>
    <xf numFmtId="0" fontId="12" fillId="4" borderId="5" applyAlignment="1" pivotButton="0" quotePrefix="0" xfId="0">
      <alignment horizontal="left" vertical="center" indent="1"/>
    </xf>
    <xf numFmtId="0" fontId="12" fillId="4" borderId="6" applyAlignment="1" pivotButton="0" quotePrefix="0" xfId="0">
      <alignment horizontal="left" vertical="center" indent="1"/>
    </xf>
    <xf numFmtId="0" fontId="13" fillId="4" borderId="7" applyAlignment="1" pivotButton="0" quotePrefix="0" xfId="0">
      <alignment vertical="top" indent="1"/>
    </xf>
    <xf numFmtId="0" fontId="13" fillId="4" borderId="8" applyAlignment="1" pivotButton="0" quotePrefix="0" xfId="0">
      <alignment vertical="top" indent="1"/>
    </xf>
    <xf numFmtId="0" fontId="14" fillId="0" borderId="0" pivotButton="0" quotePrefix="0" xfId="0"/>
    <xf numFmtId="0" fontId="15" fillId="5" borderId="3" applyAlignment="1" pivotButton="0" quotePrefix="0" xfId="0">
      <alignment vertical="center" indent="1"/>
    </xf>
    <xf numFmtId="0" fontId="15" fillId="5" borderId="4" applyAlignment="1" pivotButton="0" quotePrefix="0" xfId="0">
      <alignment vertical="center" indent="1"/>
    </xf>
    <xf numFmtId="0" fontId="16" fillId="6" borderId="9" applyAlignment="1" pivotButton="0" quotePrefix="0" xfId="0">
      <alignment vertical="center" wrapText="1" indent="1"/>
    </xf>
    <xf numFmtId="0" fontId="16" fillId="6" borderId="10" applyAlignment="1" pivotButton="0" quotePrefix="0" xfId="0">
      <alignment vertical="center" wrapText="1" indent="1"/>
    </xf>
    <xf numFmtId="0" fontId="16" fillId="6" borderId="11" applyAlignment="1" pivotButton="0" quotePrefix="0" xfId="0">
      <alignment vertical="center" wrapText="1" indent="1"/>
    </xf>
    <xf numFmtId="0" fontId="5" fillId="5" borderId="7" applyAlignment="1" pivotButton="0" quotePrefix="0" xfId="0">
      <alignment vertical="top" wrapText="1" indent="1"/>
    </xf>
    <xf numFmtId="0" fontId="5" fillId="5" borderId="8" applyAlignment="1" pivotButton="0" quotePrefix="0" xfId="0">
      <alignment vertical="top" wrapText="1" indent="1"/>
    </xf>
    <xf numFmtId="0" fontId="16" fillId="6" borderId="7" applyAlignment="1" pivotButton="0" quotePrefix="0" xfId="0">
      <alignment vertical="center" wrapText="1" indent="1"/>
    </xf>
    <xf numFmtId="0" fontId="16" fillId="6" borderId="12" applyAlignment="1" pivotButton="0" quotePrefix="0" xfId="0">
      <alignment vertical="center" wrapText="1" indent="1"/>
    </xf>
    <xf numFmtId="0" fontId="16" fillId="6" borderId="8" applyAlignment="1" pivotButton="0" quotePrefix="0" xfId="0">
      <alignment vertical="center" wrapText="1" indent="1"/>
    </xf>
    <xf numFmtId="0" fontId="1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shrinkToFit="1"/>
    </xf>
    <xf numFmtId="0" fontId="17" fillId="0" borderId="0" applyAlignment="1" pivotButton="0" quotePrefix="0" xfId="0">
      <alignment vertical="center"/>
    </xf>
    <xf numFmtId="0" fontId="13" fillId="6" borderId="13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8" fillId="0" borderId="0" pivotButton="0" quotePrefix="0" xfId="0"/>
    <xf numFmtId="164" fontId="5" fillId="3" borderId="1" applyAlignment="1" pivotButton="0" quotePrefix="0" xfId="0">
      <alignment horizontal="center" vertical="top" wrapText="1"/>
    </xf>
    <xf numFmtId="9" fontId="5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1">
    <dxf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Mentoría</author>
  </authors>
  <commentList>
    <comment ref="H4" authorId="0" shapeId="0">
      <text>
        <t>Porcentaje: 0% a 100% (por ejemplo 40%).</t>
      </text>
    </comment>
  </commentList>
</comments>
</file>

<file path=xl/comments/comment2.xml><?xml version="1.0" encoding="utf-8"?>
<comments xmlns="http://schemas.openxmlformats.org/spreadsheetml/2006/main">
  <authors>
    <author>Mentoría</author>
  </authors>
  <commentList>
    <comment ref="C4" authorId="0" shapeId="0">
      <text>
        <t>Lo que necesitas de Valeria: una revisión, una presentación con alguien, una duda.</t>
      </text>
    </comment>
  </commentList>
</comments>
</file>

<file path=xl/tables/table1.xml><?xml version="1.0" encoding="utf-8"?>
<table xmlns="http://schemas.openxmlformats.org/spreadsheetml/2006/main" id="1" name="tblFPlan" displayName="tblFPlan" ref="A4:D10" headerRowCount="1">
  <autoFilter ref="A4:D10"/>
  <tableColumns count="4">
    <tableColumn id="1" name="Sesión"/>
    <tableColumn id="2" name="Enfoque"/>
    <tableColumn id="3" name="Lo que me toca"/>
    <tableColumn id="4" name="Entregable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tblFLecturas" displayName="tblFLecturas" ref="A4:G11" headerRowCount="1">
  <autoFilter ref="A4:G11"/>
  <tableColumns count="7">
    <tableColumn id="1" name="Sesión"/>
    <tableColumn id="2" name="Título"/>
    <tableColumn id="3" name="Autor"/>
    <tableColumn id="4" name="Formato"/>
    <tableColumn id="5" name="Minutos"/>
    <tableColumn id="6" name="Por qué leerla"/>
    <tableColumn id="7" name="Liga"/>
  </tableColumns>
  <tableStyleInfo name="TableStyleLight1" showRowStripes="0" showColumnStripes="0"/>
</table>
</file>

<file path=xl/tables/table3.xml><?xml version="1.0" encoding="utf-8"?>
<table xmlns="http://schemas.openxmlformats.org/spreadsheetml/2006/main" id="3" name="tblFPreparacion" displayName="tblFPreparacion" ref="A4:B9" headerRowCount="1">
  <autoFilter ref="A4:B9"/>
  <tableColumns count="2">
    <tableColumn id="1" name="Tarea"/>
    <tableColumn id="2" name="Estado"/>
  </tableColumns>
  <tableStyleInfo name="TableStyleLight1" showRowStripes="0" showColumnStripes="0"/>
</table>
</file>

<file path=xl/tables/table4.xml><?xml version="1.0" encoding="utf-8"?>
<table xmlns="http://schemas.openxmlformats.org/spreadsheetml/2006/main" id="4" name="tblFRadar" displayName="tblFRadar" ref="A4:E11" headerRowCount="1">
  <autoFilter ref="A4:E11"/>
  <tableColumns count="5">
    <tableColumn id="1" name="Área"/>
    <tableColumn id="2" name="Qué incluye"/>
    <tableColumn id="3" name="Línea base"/>
    <tableColumn id="4" name="Mitad del ciclo"/>
    <tableColumn id="5" name="Cierre"/>
  </tableColumns>
  <tableStyleInfo name="TableStyleLight1" showRowStripes="0" showColumnStripes="0"/>
</table>
</file>

<file path=xl/tables/table5.xml><?xml version="1.0" encoding="utf-8"?>
<table xmlns="http://schemas.openxmlformats.org/spreadsheetml/2006/main" id="5" name="tblFNiveles" displayName="tblFNiveles" ref="A15:C20" headerRowCount="1">
  <autoFilter ref="A15:C20"/>
  <tableColumns count="3">
    <tableColumn id="1" name="Nombre"/>
    <tableColumn id="2" name="Qué significa"/>
    <tableColumn id="3" name="Nivel"/>
  </tableColumns>
  <tableStyleInfo name="TableStyleLight1" showRowStripes="0" showColumnStripes="0"/>
</table>
</file>

<file path=xl/tables/table6.xml><?xml version="1.0" encoding="utf-8"?>
<table xmlns="http://schemas.openxmlformats.org/spreadsheetml/2006/main" id="6" name="tblFMetas" displayName="tblFMetas" ref="A4:H9" headerRowCount="1">
  <autoFilter ref="A4:H9"/>
  <tableColumns count="8">
    <tableColumn id="1" name="Meta"/>
    <tableColumn id="2" name="S · Específica"/>
    <tableColumn id="3" name="M · Medible"/>
    <tableColumn id="4" name="A · Alcanzable"/>
    <tableColumn id="5" name="R · Relevante"/>
    <tableColumn id="6" name="Fecha límite"/>
    <tableColumn id="7" name="Área"/>
    <tableColumn id="8" name="Avance"/>
  </tableColumns>
  <tableStyleInfo name="TableStyleLight1" showRowStripes="0" showColumnStripes="0"/>
</table>
</file>

<file path=xl/tables/table7.xml><?xml version="1.0" encoding="utf-8"?>
<table xmlns="http://schemas.openxmlformats.org/spreadsheetml/2006/main" id="7" name="tblFCompromisos" displayName="tblFCompromisos" ref="A4:E9" headerRowCount="1">
  <autoFilter ref="A4:E9"/>
  <tableColumns count="5">
    <tableColumn id="1" name="Compromiso"/>
    <tableColumn id="2" name="Para el"/>
    <tableColumn id="3" name="Estado"/>
    <tableColumn id="4" name="Meta relacionada"/>
    <tableColumn id="5" name="Sesión"/>
  </tableColumns>
  <tableStyleInfo name="TableStyleLight1" showRowStripes="0" showColumnStripes="0"/>
</table>
</file>

<file path=xl/tables/table8.xml><?xml version="1.0" encoding="utf-8"?>
<table xmlns="http://schemas.openxmlformats.org/spreadsheetml/2006/main" id="8" name="tblFAvances" displayName="tblFAvances" ref="A4:D9" headerRowCount="1">
  <autoFilter ref="A4:D9"/>
  <tableColumns count="4">
    <tableColumn id="1" name="Fecha"/>
    <tableColumn id="2" name="Qué hice"/>
    <tableColumn id="3" name="Qué necesito"/>
    <tableColumn id="4" name="Liga"/>
  </tableColumns>
  <tableStyleInfo name="TableStyleLight1" showRowStripes="0" showColumnStripes="0"/>
</table>
</file>

<file path=xl/tables/table9.xml><?xml version="1.0" encoding="utf-8"?>
<table xmlns="http://schemas.openxmlformats.org/spreadsheetml/2006/main" id="9" name="tblFAcepto" displayName="tblFAcepto" ref="A4:B5" headerRowCount="1">
  <autoFilter ref="A4:B5"/>
  <tableColumns count="2">
    <tableColumn id="1" name="De acuerdo"/>
    <tableColumn id="2" name="Fecha"/>
  </tableColumns>
  <tableStyleInfo name="TableStyleLight1" showRowStripes="0" showColumnStripes="0"/>
</table>
</file>

<file path=xl/tables/table10.xml><?xml version="1.0" encoding="utf-8"?>
<table xmlns="http://schemas.openxmlformats.org/spreadsheetml/2006/main" id="10" name="tblFSugeridas" displayName="tblFSugeridas" ref="A4:D11" headerRowCount="1">
  <autoFilter ref="A4:D11"/>
  <tableColumns count="4">
    <tableColumn id="1" name="Meta"/>
    <tableColumn id="2" name="M · Medible"/>
    <tableColumn id="3" name="Plazo (días)"/>
    <tableColumn id="4" name="Área"/>
  </tableColumns>
  <tableStyleInfo name="TableStyleLight1" showRowStripes="0" showColumnStripes="0"/>
</table>
</file>

<file path=xl/tables/table11.xml><?xml version="1.0" encoding="utf-8"?>
<table xmlns="http://schemas.openxmlformats.org/spreadsheetml/2006/main" id="11" name="tblFInfo" displayName="tblFInfo" ref="A1:B5" headerRowCount="1">
  <autoFilter ref="A1:B5"/>
  <tableColumns count="2">
    <tableColumn id="1" name="Clave"/>
    <tableColumn id="2" name="Valor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oneusefulthing.org/p/15-times-to-use-ai-and-5-not-to" TargetMode="External" Id="rId1"/><Relationship Type="http://schemas.openxmlformats.org/officeDocument/2006/relationships/hyperlink" Target="https://cdn.openai.com/business-guides-and-resources/identifying-and-scaling-ai-use-cases.pdf" TargetMode="External" Id="rId2"/><Relationship Type="http://schemas.openxmlformats.org/officeDocument/2006/relationships/hyperlink" Target="https://cdn.openai.com/business-guides-and-resources/a-practical-guide-to-building-agents.pdf" TargetMode="External" Id="rId3"/><Relationship Type="http://schemas.openxmlformats.org/officeDocument/2006/relationships/hyperlink" Target="https://www.anthropic.com/engineering/building-effective-agents" TargetMode="External" Id="rId4"/><Relationship Type="http://schemas.openxmlformats.org/officeDocument/2006/relationships/hyperlink" Target="https://hamel.dev/blog/posts/evals/" TargetMode="External" Id="rId5"/><Relationship Type="http://schemas.openxmlformats.org/officeDocument/2006/relationships/hyperlink" Target="https://pair.withgoogle.com/guidebook/" TargetMode="External" Id="rId6"/><Relationship Type="http://schemas.openxmlformats.org/officeDocument/2006/relationships/hyperlink" Target="https://cdn.openai.com/business-guides-and-resources/ai-in-the-enterprise.pdf" TargetMode="External" Id="rId7"/><Relationship Type="http://schemas.openxmlformats.org/officeDocument/2006/relationships/table" Target="/xl/tables/table2.xml" Id="rId8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tabColor rgb="000A1A3F"/>
    <outlinePr summaryBelow="1" summaryRight="1"/>
    <pageSetUpPr/>
  </sheetPr>
  <dimension ref="B1:O19"/>
  <sheetViews>
    <sheetView showGridLines="0" tabSelected="1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2" customWidth="1" min="4" max="4"/>
    <col width="15" customWidth="1" min="5" max="5"/>
    <col width="15" customWidth="1" min="6" max="6"/>
    <col width="2" customWidth="1" min="7" max="7"/>
    <col width="15" customWidth="1" min="8" max="8"/>
    <col width="15" customWidth="1" min="9" max="9"/>
    <col width="2" customWidth="1" min="10" max="10"/>
    <col width="15" customWidth="1" min="11" max="11"/>
    <col width="15" customWidth="1" min="12" max="12"/>
    <col width="2" customWidth="1" min="13" max="13"/>
    <col width="15" customWidth="1" min="14" max="14"/>
    <col width="15" customWidth="1" min="15" max="15"/>
    <col width="2" customWidth="1" min="16" max="16"/>
  </cols>
  <sheetData>
    <row r="1" ht="10" customHeight="1"/>
    <row r="2">
      <c r="B2" s="1" t="inlineStr">
        <is>
          <t>MENTORÍA EN IA · METODOLOGÍA MENTORCLIQ</t>
        </is>
      </c>
    </row>
    <row r="3" ht="38" customHeight="1">
      <c r="B3" s="2" t="inlineStr">
        <is>
          <t>Mi mentoría en IA</t>
        </is>
      </c>
    </row>
    <row r="4">
      <c r="B4" s="3" t="inlineStr">
        <is>
          <t>Fernando × Valeria · este Excel es tuyo: lo llenas tú y se lo mandas a Valeria</t>
        </is>
      </c>
    </row>
    <row r="5" ht="6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 ht="12" customHeight="1"/>
    <row r="7" ht="20" customHeight="1">
      <c r="B7" s="5" t="inlineStr">
        <is>
          <t>MI RADAR IA</t>
        </is>
      </c>
      <c r="C7" s="6" t="n"/>
      <c r="E7" s="5" t="inlineStr">
        <is>
          <t>MIS METAS</t>
        </is>
      </c>
      <c r="F7" s="6" t="n"/>
      <c r="H7" s="5" t="inlineStr">
        <is>
          <t>MIS COMPROMISOS</t>
        </is>
      </c>
      <c r="I7" s="6" t="n"/>
      <c r="K7" s="5" t="inlineStr">
        <is>
          <t>MI PREPARACIÓN</t>
        </is>
      </c>
      <c r="L7" s="6" t="n"/>
      <c r="N7" s="5" t="inlineStr">
        <is>
          <t>MIS AVANCES</t>
        </is>
      </c>
      <c r="O7" s="6" t="n"/>
    </row>
    <row r="8" ht="36" customHeight="1">
      <c r="B8" s="7">
        <f>IF(COUNT('Mi Radar IA'!$C$5:$C$11)=0,"–",TEXT(AVERAGE('Mi Radar IA'!$C$5:$C$11),"0.0"))</f>
        <v/>
      </c>
      <c r="C8" s="8" t="n"/>
      <c r="E8" s="7">
        <f>COUNTIFS('Mis metas'!$A$5:$A$500,"&lt;&gt;")</f>
        <v/>
      </c>
      <c r="F8" s="8" t="n"/>
      <c r="H8" s="7">
        <f>COUNTIFS('Mis compromisos'!$A$5:$A$500,"&lt;&gt;",'Mis compromisos'!$C$5:$C$500,"&lt;&gt;Hecho")</f>
        <v/>
      </c>
      <c r="I8" s="8" t="n"/>
      <c r="K8" s="7">
        <f>COUNTIFS('Mi preparación'!$B$5:$B$200,"Listo")&amp;" de "&amp;COUNTA('Mi preparación'!$A$5:$A$200)</f>
        <v/>
      </c>
      <c r="L8" s="8" t="n"/>
      <c r="N8" s="7">
        <f>COUNTIFS('Mis avances'!$B$5:$B$500,"&lt;&gt;")</f>
        <v/>
      </c>
      <c r="O8" s="8" t="n"/>
    </row>
    <row r="9" ht="20" customHeight="1">
      <c r="B9" s="9">
        <f>IF(COUNT('Mi Radar IA'!$C$5:$C$11)=0,"califícate del 1 al 5","promedio de tu línea base")</f>
        <v/>
      </c>
      <c r="C9" s="10" t="n"/>
      <c r="E9" s="9">
        <f>IF(COUNTIFS('Mis metas'!$A$5:$A$500,"&lt;&gt;")=0,"entre 1 y 3 es ideal",TEXT(IFERROR(AVERAGEIFS('Mis metas'!$H$5:$H$500,'Mis metas'!$A$5:$A$500,"&lt;&gt;"),0),"0%")&amp;" de avance promedio")</f>
        <v/>
      </c>
      <c r="F9" s="10" t="n"/>
      <c r="H9" s="9">
        <f>IF(COUNTIFS('Mis compromisos'!$A$5:$A$500,"&lt;&gt;",'Mis compromisos'!$C$5:$C$500,"&lt;&gt;Hecho",'Mis compromisos'!$B$5:$B$500,"&lt;"&amp;TODAY())=0,"ninguno vencido",COUNTIFS('Mis compromisos'!$A$5:$A$500,"&lt;&gt;",'Mis compromisos'!$C$5:$C$500,"&lt;&gt;Hecho",'Mis compromisos'!$B$5:$B$500,"&lt;"&amp;TODAY())&amp;" vencido(s)")</f>
        <v/>
      </c>
      <c r="I9" s="10" t="n"/>
      <c r="K9" s="9">
        <f>"para la sesión 1"</f>
        <v/>
      </c>
      <c r="L9" s="10" t="n"/>
      <c r="N9" s="9">
        <f>"registrados"</f>
        <v/>
      </c>
      <c r="O9" s="10" t="n"/>
    </row>
    <row r="10" ht="14" customHeight="1"/>
    <row r="11">
      <c r="B11" s="11" t="inlineStr">
        <is>
          <t>CÓMO FUNCIONA</t>
        </is>
      </c>
    </row>
    <row r="12" ht="20" customHeight="1">
      <c r="B12" s="12" t="inlineStr">
        <is>
          <t>1 · LLENA</t>
        </is>
      </c>
      <c r="C12" s="13" t="n"/>
      <c r="E12" s="12" t="inlineStr">
        <is>
          <t>2 · GUARDA</t>
        </is>
      </c>
      <c r="F12" s="13" t="n"/>
      <c r="H12" s="12" t="inlineStr">
        <is>
          <t>3 · MÁNDALO</t>
        </is>
      </c>
      <c r="I12" s="13" t="n"/>
      <c r="K12" s="14" t="inlineStr">
        <is>
          <t>Este archivo sólo tiene lo tuyo y no necesita macros. Lo que escribas aquí le llega a Valeria; lo que ella anota para sí, no.</t>
        </is>
      </c>
      <c r="L12" s="15" t="n"/>
      <c r="M12" s="15" t="n"/>
      <c r="N12" s="15" t="n"/>
      <c r="O12" s="16" t="n"/>
    </row>
    <row r="13" ht="44" customHeight="1">
      <c r="B13" s="17" t="inlineStr">
        <is>
          <t>Escribe en las celdas grises de tus hojas. Una fila por cosa.</t>
        </is>
      </c>
      <c r="C13" s="18" t="n"/>
      <c r="E13" s="17" t="inlineStr">
        <is>
          <t>Guarda el archivo; puedes dejarle el mismo nombre.</t>
        </is>
      </c>
      <c r="F13" s="18" t="n"/>
      <c r="H13" s="17" t="inlineStr">
        <is>
          <t>Mándaselo a Valeria por correo o WhatsApp. Ella lo importa y tu página se actualiza.</t>
        </is>
      </c>
      <c r="I13" s="18" t="n"/>
      <c r="K13" s="19" t="n"/>
      <c r="L13" s="20" t="n"/>
      <c r="M13" s="20" t="n"/>
      <c r="N13" s="20" t="n"/>
      <c r="O13" s="21" t="n"/>
    </row>
    <row r="14" ht="16" customHeight="1"/>
    <row r="15">
      <c r="B15" s="11" t="inlineStr">
        <is>
          <t>IR A · MIS HOJAS</t>
        </is>
      </c>
    </row>
    <row r="16" ht="22" customHeight="1">
      <c r="B16" s="22" t="inlineStr">
        <is>
          <t>LO LLENAS TÚ</t>
        </is>
      </c>
      <c r="E16" s="23" t="inlineStr">
        <is>
          <t>Mi preparación</t>
        </is>
      </c>
      <c r="F16" s="23" t="inlineStr">
        <is>
          <t>Mi Radar IA</t>
        </is>
      </c>
      <c r="H16" s="23" t="inlineStr">
        <is>
          <t>Mis metas</t>
        </is>
      </c>
      <c r="I16" s="23" t="inlineStr">
        <is>
          <t>Mis compromisos</t>
        </is>
      </c>
      <c r="K16" s="23" t="inlineStr">
        <is>
          <t>Mis avances</t>
        </is>
      </c>
      <c r="L16" s="23" t="inlineStr">
        <is>
          <t>Acuerdo</t>
        </is>
      </c>
    </row>
    <row r="17" ht="22" customHeight="1">
      <c r="B17" s="24" t="inlineStr">
        <is>
          <t>PARA CONSULTAR</t>
        </is>
      </c>
      <c r="E17" s="23" t="inlineStr">
        <is>
          <t>Mi plan</t>
        </is>
      </c>
      <c r="F17" s="23" t="inlineStr">
        <is>
          <t>Mis lecturas</t>
        </is>
      </c>
      <c r="H17" s="23" t="inlineStr">
        <is>
          <t>Ideas de metas</t>
        </is>
      </c>
    </row>
    <row r="18" ht="14" customHeight="1"/>
    <row r="19">
      <c r="B19" s="25" t="inlineStr">
        <is>
          <t>Mentoría MentorcliQ · Fernando × Valeria · Tú llevas el volante.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</row>
  </sheetData>
  <mergeCells count="25">
    <mergeCell ref="E12:F12"/>
    <mergeCell ref="B16:C16"/>
    <mergeCell ref="K12:O13"/>
    <mergeCell ref="B7:C7"/>
    <mergeCell ref="N7:O7"/>
    <mergeCell ref="K9:L9"/>
    <mergeCell ref="H9:I9"/>
    <mergeCell ref="E8:F8"/>
    <mergeCell ref="B12:C12"/>
    <mergeCell ref="E13:F13"/>
    <mergeCell ref="B17:C17"/>
    <mergeCell ref="E9:F9"/>
    <mergeCell ref="B8:C8"/>
    <mergeCell ref="N8:O8"/>
    <mergeCell ref="B13:C13"/>
    <mergeCell ref="K8:L8"/>
    <mergeCell ref="H7:I7"/>
    <mergeCell ref="B19:O19"/>
    <mergeCell ref="B9:C9"/>
    <mergeCell ref="H13:I13"/>
    <mergeCell ref="N9:O9"/>
    <mergeCell ref="K7:L7"/>
    <mergeCell ref="H12:I12"/>
    <mergeCell ref="E7:F7"/>
    <mergeCell ref="H8:I8"/>
  </mergeCells>
  <hyperlinks>
    <hyperlink ref="E16" location="'Mi preparación'!A1" display="Mi preparación"/>
    <hyperlink ref="F16" location="'Mi Radar IA'!A1" display="Mi Radar IA"/>
    <hyperlink ref="H16" location="'Mis metas'!A1" display="Mis metas"/>
    <hyperlink ref="I16" location="'Mis compromisos'!A1" display="Mis compromisos"/>
    <hyperlink ref="K16" location="'Mis avances'!A1" display="Mis avances"/>
    <hyperlink ref="L16" location="'Acuerdo'!A1" display="Acuerdo"/>
    <hyperlink ref="E17" location="'Mi plan'!A1" display="Mi plan"/>
    <hyperlink ref="F17" location="'Mis lecturas'!A1" display="Mis lecturas"/>
    <hyperlink ref="H17" location="'Ideas de metas'!A1" display="Ideas de meta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0A5FA"/>
    <outlinePr summaryBelow="1" summaryRight="1"/>
    <pageSetUpPr/>
  </sheetPr>
  <dimension ref="A1:D10"/>
  <sheetViews>
    <sheetView showGridLines="0" tabSelected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60" customWidth="1" min="3" max="3"/>
    <col width="50" customWidth="1" min="4" max="4"/>
  </cols>
  <sheetData>
    <row r="1" ht="18" customHeight="1">
      <c r="A1" s="1" t="inlineStr">
        <is>
          <t>PARA CONSULTAR   ·   ← Mi cabina</t>
        </is>
      </c>
    </row>
    <row r="2" ht="30" customHeight="1">
      <c r="A2" s="26" t="inlineStr">
        <is>
          <t>Mi plan de trabajo, sesión por sesión</t>
        </is>
      </c>
    </row>
    <row r="3" ht="18" customHeight="1">
      <c r="A3" s="27" t="inlineStr">
        <is>
          <t>Lo que te toca en cada sesión y lo que se entrega. Tú llevas el volante.</t>
        </is>
      </c>
    </row>
    <row r="4" ht="30" customHeight="1">
      <c r="A4" s="28" t="inlineStr">
        <is>
          <t>Sesión</t>
        </is>
      </c>
      <c r="B4" s="28" t="inlineStr">
        <is>
          <t>Enfoque</t>
        </is>
      </c>
      <c r="C4" s="28" t="inlineStr">
        <is>
          <t>Lo que me toca</t>
        </is>
      </c>
      <c r="D4" s="28" t="inlineStr">
        <is>
          <t>Entregable</t>
        </is>
      </c>
    </row>
    <row r="5" ht="64" customHeight="1">
      <c r="A5" s="29" t="n">
        <v>1</v>
      </c>
      <c r="B5" s="30" t="inlineStr">
        <is>
          <t>Conocerse, acuerdo, metas y elegir el proyecto ancla</t>
        </is>
      </c>
      <c r="C5" s="30" t="inlineStr">
        <is>
          <t>Llenar su Radar IA y su preparación en su Excel.
Traer su mejor GPT y su peor alucinación.
Proponer un problema real de su área como proyecto ancla.</t>
        </is>
      </c>
      <c r="D5" s="30" t="inlineStr">
        <is>
          <t>Proyecto ancla elegido y Radar IA de línea base</t>
        </is>
      </c>
    </row>
    <row r="6" ht="64" customHeight="1">
      <c r="A6" s="29" t="n">
        <v>2</v>
      </c>
      <c r="B6" s="30" t="inlineStr">
        <is>
          <t>Medir el punto de partida y diseñar la solución</t>
        </is>
      </c>
      <c r="C6" s="30" t="inlineStr">
        <is>
          <t>Medir cuánto tarda y cuánto falla hoy el proceso.
Diseñar su solución en una página.</t>
        </is>
      </c>
      <c r="D6" s="30" t="inlineStr">
        <is>
          <t>Cuánto tarda y cuánto falla hoy el proceso; diseño en una página</t>
        </is>
      </c>
    </row>
    <row r="7" ht="64" customHeight="1">
      <c r="A7" s="29" t="n">
        <v>3</v>
      </c>
      <c r="B7" s="30" t="inlineStr">
        <is>
          <t>Prototipo y check-in de mitad de ciclo</t>
        </is>
      </c>
      <c r="C7" s="30" t="inlineStr">
        <is>
          <t>Traer algo funcionando, aunque sea feo.
Radar IA de mitad de ciclo.</t>
        </is>
      </c>
      <c r="D7" s="30" t="inlineStr">
        <is>
          <t>Algo funcionando, aunque sea feo; Radar IA de mitad de ciclo</t>
        </is>
      </c>
    </row>
    <row r="8" ht="64" customHeight="1">
      <c r="A8" s="29" t="n">
        <v>4</v>
      </c>
      <c r="B8" s="30" t="inlineStr">
        <is>
          <t>Probar en serio: casos de prueba y comparar modelos</t>
        </is>
      </c>
      <c r="C8" s="30" t="inlineStr">
        <is>
          <t>Armar 20 casos de prueba con su respuesta correcta.
Probarlos en 2 o 3 herramientas y sacar la tasa de acierto.</t>
        </is>
      </c>
      <c r="D8" s="30" t="inlineStr">
        <is>
          <t>20 casos de prueba con su tasa de acierto y la mejor herramienta para cada paso</t>
        </is>
      </c>
    </row>
    <row r="9" ht="64" customHeight="1">
      <c r="A9" s="29" t="n">
        <v>5</v>
      </c>
      <c r="B9" s="30" t="inlineStr">
        <is>
          <t>Piloto con usuarios reales</t>
        </is>
      </c>
      <c r="C9" s="30" t="inlineStr">
        <is>
          <t>Que dos compañeros lo usen una semana.
Medir horas ahorradas y errores.</t>
        </is>
      </c>
      <c r="D9" s="30" t="inlineStr">
        <is>
          <t>Dos compañeros usándolo y horas ahorradas medidas</t>
        </is>
      </c>
    </row>
    <row r="10" ht="64" customHeight="1">
      <c r="A10" s="29" t="n">
        <v>6</v>
      </c>
      <c r="B10" s="30" t="inlineStr">
        <is>
          <t>Demo day y red</t>
        </is>
      </c>
      <c r="C10" s="30" t="inlineStr">
        <is>
          <t>Presentar a su jefe o equipo con números.
Radar IA final y qué sigue para su proyecto.</t>
        </is>
      </c>
      <c r="D10" s="30" t="inlineStr">
        <is>
          <t>Presentación a su jefe o equipo con números, 2 o 3 presentaciones con gente de la red de Valeria y Radar IA final</t>
        </is>
      </c>
    </row>
  </sheetData>
  <hyperlinks>
    <hyperlink ref="A1" location="'Mi cabina'!A1" display="PARA CONSULTAR   ·   ← Mi cabina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60A5FA"/>
    <outlinePr summaryBelow="1" summaryRight="1"/>
    <pageSetUpPr/>
  </sheetPr>
  <dimension ref="A1:G11"/>
  <sheetViews>
    <sheetView showGridLines="0" tabSelected="0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6" customWidth="1" min="3" max="3"/>
    <col width="9" customWidth="1" min="4" max="4"/>
    <col width="9" customWidth="1" min="5" max="5"/>
    <col width="56" customWidth="1" min="6" max="6"/>
    <col width="60" customWidth="1" min="7" max="7"/>
  </cols>
  <sheetData>
    <row r="1" ht="18" customHeight="1">
      <c r="A1" s="1" t="inlineStr">
        <is>
          <t>PARA CONSULTAR   ·   ← Mi cabina</t>
        </is>
      </c>
    </row>
    <row r="2" ht="30" customHeight="1">
      <c r="A2" s="26" t="inlineStr">
        <is>
          <t>Mis lecturas, una por sesión</t>
        </is>
      </c>
    </row>
    <row r="3" ht="18" customHeight="1">
      <c r="A3" s="27" t="inlineStr">
        <is>
          <t>Gratis y con liga directa: clic en la liga para abrirla o descargarla. Están en inglés: la página web se traduce con clic derecho → Traducir; un PDF lo puedes subir a la IA y pedirle un resumen en español.</t>
        </is>
      </c>
    </row>
    <row r="4" ht="30" customHeight="1">
      <c r="A4" s="28" t="inlineStr">
        <is>
          <t>Sesión</t>
        </is>
      </c>
      <c r="B4" s="28" t="inlineStr">
        <is>
          <t>Título</t>
        </is>
      </c>
      <c r="C4" s="28" t="inlineStr">
        <is>
          <t>Autor</t>
        </is>
      </c>
      <c r="D4" s="28" t="inlineStr">
        <is>
          <t>Formato</t>
        </is>
      </c>
      <c r="E4" s="28" t="inlineStr">
        <is>
          <t>Minutos</t>
        </is>
      </c>
      <c r="F4" s="28" t="inlineStr">
        <is>
          <t>Por qué leerla</t>
        </is>
      </c>
      <c r="G4" s="28" t="inlineStr">
        <is>
          <t>Liga</t>
        </is>
      </c>
    </row>
    <row r="5" ht="40" customHeight="1">
      <c r="A5" s="29" t="n">
        <v>1</v>
      </c>
      <c r="B5" s="31" t="inlineStr">
        <is>
          <t>15 Times to use AI, and 5 Not to</t>
        </is>
      </c>
      <c r="C5" s="30" t="inlineStr">
        <is>
          <t>Ethan Mollick (One Useful Thing, 2024)</t>
        </is>
      </c>
      <c r="D5" s="29" t="inlineStr">
        <is>
          <t>Web</t>
        </is>
      </c>
      <c r="E5" s="29" t="n">
        <v>15</v>
      </c>
      <c r="F5" s="30" t="inlineStr">
        <is>
          <t>Criterio para saber cuándo sí conviene la IA y cuándo no. Ayuda a elegir bien el proyecto ancla.</t>
        </is>
      </c>
      <c r="G5" s="32" t="inlineStr">
        <is>
          <t>https://www.oneusefulthing.org/p/15-times-to-use-ai-and-5-not-to</t>
        </is>
      </c>
    </row>
    <row r="6" ht="40" customHeight="1">
      <c r="A6" s="29" t="n">
        <v>2</v>
      </c>
      <c r="B6" s="31" t="inlineStr">
        <is>
          <t>Identifying and scaling AI use cases</t>
        </is>
      </c>
      <c r="C6" s="30" t="inlineStr">
        <is>
          <t>OpenAI (2025)</t>
        </is>
      </c>
      <c r="D6" s="29" t="inlineStr">
        <is>
          <t>PDF</t>
        </is>
      </c>
      <c r="E6" s="29" t="n">
        <v>25</v>
      </c>
      <c r="F6" s="30" t="inlineStr">
        <is>
          <t>Cómo encontrar y priorizar casos de uso en tu área. Sirve para medir el punto de partida y diseñar la solución.</t>
        </is>
      </c>
      <c r="G6" s="32" t="inlineStr">
        <is>
          <t>https://cdn.openai.com/business-guides-and-resources/identifying-and-scaling-ai-use-cases.pdf</t>
        </is>
      </c>
    </row>
    <row r="7" ht="40" customHeight="1">
      <c r="A7" s="29" t="n">
        <v>3</v>
      </c>
      <c r="B7" s="31" t="inlineStr">
        <is>
          <t>A practical guide to building agents</t>
        </is>
      </c>
      <c r="C7" s="30" t="inlineStr">
        <is>
          <t>OpenAI (2025)</t>
        </is>
      </c>
      <c r="D7" s="29" t="inlineStr">
        <is>
          <t>PDF</t>
        </is>
      </c>
      <c r="E7" s="29" t="n">
        <v>30</v>
      </c>
      <c r="F7" s="30" t="inlineStr">
        <is>
          <t>Modelo, herramientas e instrucciones: lo básico para armar el prototipo de un agente.</t>
        </is>
      </c>
      <c r="G7" s="32" t="inlineStr">
        <is>
          <t>https://cdn.openai.com/business-guides-and-resources/a-practical-guide-to-building-agents.pdf</t>
        </is>
      </c>
    </row>
    <row r="8" ht="40" customHeight="1">
      <c r="A8" s="29" t="n">
        <v>3</v>
      </c>
      <c r="B8" s="31" t="inlineStr">
        <is>
          <t>Building effective agents</t>
        </is>
      </c>
      <c r="C8" s="30" t="inlineStr">
        <is>
          <t>Anthropic (2024)</t>
        </is>
      </c>
      <c r="D8" s="29" t="inlineStr">
        <is>
          <t>Web</t>
        </is>
      </c>
      <c r="E8" s="29" t="n">
        <v>20</v>
      </c>
      <c r="F8" s="30" t="inlineStr">
        <is>
          <t>Complemento: empezar con flujos simples antes que agentes complejos.</t>
        </is>
      </c>
      <c r="G8" s="32" t="inlineStr">
        <is>
          <t>https://www.anthropic.com/engineering/building-effective-agents</t>
        </is>
      </c>
    </row>
    <row r="9" ht="40" customHeight="1">
      <c r="A9" s="29" t="n">
        <v>4</v>
      </c>
      <c r="B9" s="31" t="inlineStr">
        <is>
          <t>Your AI Product Needs Evals</t>
        </is>
      </c>
      <c r="C9" s="30" t="inlineStr">
        <is>
          <t>Hamel Husain (2024)</t>
        </is>
      </c>
      <c r="D9" s="29" t="inlineStr">
        <is>
          <t>Web</t>
        </is>
      </c>
      <c r="E9" s="29" t="n">
        <v>25</v>
      </c>
      <c r="F9" s="30" t="inlineStr">
        <is>
          <t>Cómo armar casos de prueba y medir la tasa de acierto: justo sus 20 casos.</t>
        </is>
      </c>
      <c r="G9" s="32" t="inlineStr">
        <is>
          <t>https://hamel.dev/blog/posts/evals/</t>
        </is>
      </c>
    </row>
    <row r="10" ht="40" customHeight="1">
      <c r="A10" s="29" t="n">
        <v>5</v>
      </c>
      <c r="B10" s="31" t="inlineStr">
        <is>
          <t>People + AI Guidebook</t>
        </is>
      </c>
      <c r="C10" s="30" t="inlineStr">
        <is>
          <t>Google PAIR</t>
        </is>
      </c>
      <c r="D10" s="29" t="inlineStr">
        <is>
          <t>Web</t>
        </is>
      </c>
      <c r="E10" s="29" t="n">
        <v>20</v>
      </c>
      <c r="F10" s="30" t="inlineStr">
        <is>
          <t>Cómo diseñar algo con IA que la gente sí use: confianza, errores y retroalimentación. Para el piloto con usuarios.</t>
        </is>
      </c>
      <c r="G10" s="32" t="inlineStr">
        <is>
          <t>https://pair.withgoogle.com/guidebook/</t>
        </is>
      </c>
    </row>
    <row r="11" ht="40" customHeight="1">
      <c r="A11" s="29" t="n">
        <v>6</v>
      </c>
      <c r="B11" s="31" t="inlineStr">
        <is>
          <t>AI in the Enterprise</t>
        </is>
      </c>
      <c r="C11" s="30" t="inlineStr">
        <is>
          <t>OpenAI (2025)</t>
        </is>
      </c>
      <c r="D11" s="29" t="inlineStr">
        <is>
          <t>PDF</t>
        </is>
      </c>
      <c r="E11" s="29" t="n">
        <v>25</v>
      </c>
      <c r="F11" s="30" t="inlineStr">
        <is>
          <t>Siete lecciones de empresas que ya escalaron la IA. Ideas para presentar su caso con números en el demo day.</t>
        </is>
      </c>
      <c r="G11" s="32" t="inlineStr">
        <is>
          <t>https://cdn.openai.com/business-guides-and-resources/ai-in-the-enterprise.pdf</t>
        </is>
      </c>
    </row>
  </sheetData>
  <hyperlinks>
    <hyperlink ref="A1" location="'Mi cabina'!A1" display="PARA CONSULTAR   ·   ← Mi cabina"/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B9"/>
  <sheetViews>
    <sheetView showGridLines="0" tabSelected="0" workbookViewId="0">
      <selection activeCell="A1" sqref="A1"/>
    </sheetView>
  </sheetViews>
  <sheetFormatPr baseColWidth="8" defaultRowHeight="15"/>
  <cols>
    <col width="100" customWidth="1" min="1" max="1"/>
    <col width="14" customWidth="1" min="2" max="2"/>
  </cols>
  <sheetData>
    <row r="1" ht="18" customHeight="1">
      <c r="A1" s="1" t="inlineStr">
        <is>
          <t>LO LLENAS TÚ   ·   ← Mi cabina</t>
        </is>
      </c>
    </row>
    <row r="2" ht="30" customHeight="1">
      <c r="A2" s="26" t="inlineStr">
        <is>
          <t>Mi preparación para la sesión 1</t>
        </is>
      </c>
    </row>
    <row r="3" ht="18" customHeight="1">
      <c r="A3" s="27" t="inlineStr">
        <is>
          <t>Marca cada tarea como Listo cuando la tengas.</t>
        </is>
      </c>
    </row>
    <row r="4" ht="30" customHeight="1">
      <c r="A4" s="28" t="inlineStr">
        <is>
          <t>Tarea</t>
        </is>
      </c>
      <c r="B4" s="28" t="inlineStr">
        <is>
          <t>Estado</t>
        </is>
      </c>
    </row>
    <row r="5" ht="24" customHeight="1">
      <c r="A5" s="30" t="inlineStr">
        <is>
          <t>Llenar mi Radar IA con la escala nueva: siete áreas, del 1 al 5.</t>
        </is>
      </c>
      <c r="B5" s="29" t="inlineStr">
        <is>
          <t>Pendiente</t>
        </is>
      </c>
    </row>
    <row r="6" ht="24" customHeight="1">
      <c r="A6" s="30" t="inlineStr">
        <is>
          <t>Tener listo para mostrar mi mejor GPT, prompt o automatización (3 minutos).</t>
        </is>
      </c>
      <c r="B6" s="29" t="inlineStr">
        <is>
          <t>Pendiente</t>
        </is>
      </c>
    </row>
    <row r="7" ht="24" customHeight="1">
      <c r="A7" s="30" t="inlineStr">
        <is>
          <t>Traer mi peor alucinación: cuándo me engañó la IA y cómo lo detecté.</t>
        </is>
      </c>
      <c r="B7" s="29" t="inlineStr">
        <is>
          <t>Pendiente</t>
        </is>
      </c>
    </row>
    <row r="8" ht="24" customHeight="1">
      <c r="A8" s="30" t="inlineStr">
        <is>
          <t>Traer un problema real de mi área que cueste horas o dinero: candidato a proyecto ancla.</t>
        </is>
      </c>
      <c r="B8" s="29" t="inlineStr">
        <is>
          <t>Pendiente</t>
        </is>
      </c>
    </row>
    <row r="9" ht="24" customHeight="1">
      <c r="A9" s="30" t="inlineStr">
        <is>
          <t>Anotar qué me dio la liga de IA y qué me faltó.</t>
        </is>
      </c>
      <c r="B9" s="29" t="inlineStr">
        <is>
          <t>Pendiente</t>
        </is>
      </c>
    </row>
  </sheetData>
  <conditionalFormatting sqref="A5:B300">
    <cfRule type="expression" priority="1" dxfId="0">
      <formula>$B5="Listo"</formula>
    </cfRule>
  </conditionalFormatting>
  <dataValidations count="1">
    <dataValidation sqref="B5:B300" showDropDown="0" showInputMessage="0" showErrorMessage="0" allowBlank="1" type="list">
      <formula1>"Pendiente,Listo"</formula1>
    </dataValidation>
  </dataValidations>
  <hyperlinks>
    <hyperlink ref="A1" location="'Mi cabina'!A1" display="LO LLENAS TÚ   ·   ← Mi cabina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E20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  <col width="15" customWidth="1" min="4" max="4"/>
    <col width="10" customWidth="1" min="5" max="5"/>
  </cols>
  <sheetData>
    <row r="1" ht="18" customHeight="1">
      <c r="A1" s="1" t="inlineStr">
        <is>
          <t>LO LLENAS TÚ   ·   ← Mi cabina</t>
        </is>
      </c>
    </row>
    <row r="2" ht="30" customHeight="1">
      <c r="A2" s="26" t="inlineStr">
        <is>
          <t>Mi Radar IA</t>
        </is>
      </c>
    </row>
    <row r="3" ht="18" customHeight="1">
      <c r="A3" s="27" t="inlineStr">
        <is>
          <t>Califícate del 1 al 5 en cada área con la escala de abajo. La línea base va en la sesión 1; se repite a mitad y al cierre del ciclo.</t>
        </is>
      </c>
    </row>
    <row r="4" ht="30" customHeight="1">
      <c r="A4" s="28" t="inlineStr">
        <is>
          <t>Área</t>
        </is>
      </c>
      <c r="B4" s="28" t="inlineStr">
        <is>
          <t>Qué incluye</t>
        </is>
      </c>
      <c r="C4" s="28" t="inlineStr">
        <is>
          <t>Línea base</t>
        </is>
      </c>
      <c r="D4" s="28" t="inlineStr">
        <is>
          <t>Mitad del ciclo</t>
        </is>
      </c>
      <c r="E4" s="28" t="inlineStr">
        <is>
          <t>Cierre</t>
        </is>
      </c>
    </row>
    <row r="5" ht="30" customHeight="1">
      <c r="A5" s="31" t="inlineStr">
        <is>
          <t>Criterio multi-modelo</t>
        </is>
      </c>
      <c r="B5" s="30" t="inlineStr">
        <is>
          <t>Elegir ChatGPT, Claude, Gemini o Copilot según la tarea, con pruebas y no por costumbre</t>
        </is>
      </c>
      <c r="C5" s="29" t="n"/>
      <c r="D5" s="29" t="n"/>
      <c r="E5" s="29" t="n"/>
    </row>
    <row r="6" ht="30" customHeight="1">
      <c r="A6" s="31" t="inlineStr">
        <is>
          <t>Contexto y conocimiento</t>
        </is>
      </c>
      <c r="B6" s="30" t="inlineStr">
        <is>
          <t>GPTs, Projects e instrucciones con documentos propios: que la IA conozca tu trabajo</t>
        </is>
      </c>
      <c r="C6" s="29" t="n"/>
      <c r="D6" s="29" t="n"/>
      <c r="E6" s="29" t="n"/>
    </row>
    <row r="7" ht="30" customHeight="1">
      <c r="A7" s="31" t="inlineStr">
        <is>
          <t>Agentes y automatización</t>
        </is>
      </c>
      <c r="B7" s="30" t="inlineStr">
        <is>
          <t>Flujos de punta a punta con herramientas conectadas: acciones, conectores, Power Automate, API</t>
        </is>
      </c>
      <c r="C7" s="29" t="n"/>
      <c r="D7" s="29" t="n"/>
      <c r="E7" s="29" t="n"/>
    </row>
    <row r="8" ht="30" customHeight="1">
      <c r="A8" s="31" t="inlineStr">
        <is>
          <t>Evaluación y calidad</t>
        </is>
      </c>
      <c r="B8" s="30" t="inlineStr">
        <is>
          <t>Saber si la IA lo hace bien: casos de prueba, rúbricas, tasa de error y fuentes verificadas</t>
        </is>
      </c>
      <c r="C8" s="29" t="n"/>
      <c r="D8" s="29" t="n"/>
      <c r="E8" s="29" t="n"/>
    </row>
    <row r="9" ht="30" customHeight="1">
      <c r="A9" s="31" t="inlineStr">
        <is>
          <t>Datos y análisis</t>
        </is>
      </c>
      <c r="B9" s="30" t="inlineStr">
        <is>
          <t>Análisis con código (Python, Excel) y hallazgos verificados contra la fuente</t>
        </is>
      </c>
      <c r="C9" s="29" t="n"/>
      <c r="D9" s="29" t="n"/>
      <c r="E9" s="29" t="n"/>
    </row>
    <row r="10" ht="30" customHeight="1">
      <c r="A10" s="31" t="inlineStr">
        <is>
          <t>Impacto de negocio</t>
        </is>
      </c>
      <c r="B10" s="30" t="inlineStr">
        <is>
          <t>Casos con ROI medido, antes y después, y una historia que convenza a tu jefe</t>
        </is>
      </c>
      <c r="C10" s="29" t="n"/>
      <c r="D10" s="29" t="n"/>
      <c r="E10" s="29" t="n"/>
    </row>
    <row r="11" ht="30" customHeight="1">
      <c r="A11" s="31" t="inlineStr">
        <is>
          <t>Adopción y riesgo</t>
        </is>
      </c>
      <c r="B11" s="30" t="inlineStr">
        <is>
          <t>Llevar la IA a tu equipo con reglas claras: datos sensibles, sesgos y uso responsable</t>
        </is>
      </c>
      <c r="C11" s="29" t="n"/>
      <c r="D11" s="29" t="n"/>
      <c r="E11" s="29" t="n"/>
    </row>
    <row r="14">
      <c r="A14" s="33" t="inlineStr">
        <is>
          <t>La escala</t>
        </is>
      </c>
    </row>
    <row r="15" ht="30" customHeight="1">
      <c r="A15" s="28" t="inlineStr">
        <is>
          <t>Nombre</t>
        </is>
      </c>
      <c r="B15" s="28" t="inlineStr">
        <is>
          <t>Qué significa</t>
        </is>
      </c>
      <c r="C15" s="28" t="inlineStr">
        <is>
          <t>Nivel</t>
        </is>
      </c>
    </row>
    <row r="16">
      <c r="A16" s="30" t="inlineStr">
        <is>
          <t>Lo conozco</t>
        </is>
      </c>
      <c r="B16" s="30" t="inlineStr">
        <is>
          <t>Sé qué es y para qué sirve, pero no lo uso.</t>
        </is>
      </c>
      <c r="C16" s="29" t="n">
        <v>1</v>
      </c>
    </row>
    <row r="17">
      <c r="A17" s="30" t="inlineStr">
        <is>
          <t>Lo uso en el chat</t>
        </is>
      </c>
      <c r="B17" s="30" t="inlineStr">
        <is>
          <t>Lo uso de vez en cuando, caso por caso.</t>
        </is>
      </c>
      <c r="C17" s="29" t="n">
        <v>2</v>
      </c>
    </row>
    <row r="18">
      <c r="A18" s="30" t="inlineStr">
        <is>
          <t>Lo uso con método</t>
        </is>
      </c>
      <c r="B18" s="30" t="inlineStr">
        <is>
          <t>Es parte de mi semana y tengo una forma repetible de hacerlo.</t>
        </is>
      </c>
      <c r="C18" s="29" t="n">
        <v>3</v>
      </c>
    </row>
    <row r="19">
      <c r="A19" s="30" t="inlineStr">
        <is>
          <t>Construyo para otros</t>
        </is>
      </c>
      <c r="B19" s="30" t="inlineStr">
        <is>
          <t>Hice algo que otras personas usan sin mí.</t>
        </is>
      </c>
      <c r="C19" s="29" t="n">
        <v>4</v>
      </c>
    </row>
    <row r="20">
      <c r="A20" s="30" t="inlineStr">
        <is>
          <t>Lo mido y lo escalo</t>
        </is>
      </c>
      <c r="B20" s="30" t="inlineStr">
        <is>
          <t>Tengo números del impacto y lo enseño o lo llevo a más áreas.</t>
        </is>
      </c>
      <c r="C20" s="29" t="n">
        <v>5</v>
      </c>
    </row>
  </sheetData>
  <dataValidations count="1">
    <dataValidation sqref="C5:E11" showDropDown="0" showInputMessage="0" showErrorMessage="0" allowBlank="1" error="Usa un número del 1 al 5." type="whole" operator="between">
      <formula1>1</formula1>
      <formula2>5</formula2>
    </dataValidation>
  </dataValidations>
  <hyperlinks>
    <hyperlink ref="A1" location="'Mi cabina'!A1" display="LO LLENAS TÚ   ·   ← Mi cabina"/>
  </hyperlink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H9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28" customWidth="1" min="4" max="4"/>
    <col width="26" customWidth="1" min="5" max="5"/>
    <col width="14" customWidth="1" min="6" max="6"/>
    <col width="24" customWidth="1" min="7" max="7"/>
    <col width="10" customWidth="1" min="8" max="8"/>
  </cols>
  <sheetData>
    <row r="1" ht="18" customHeight="1">
      <c r="A1" s="1" t="inlineStr">
        <is>
          <t>LO LLENAS TÚ   ·   ← Mi cabina</t>
        </is>
      </c>
    </row>
    <row r="2" ht="30" customHeight="1">
      <c r="A2" s="26" t="inlineStr">
        <is>
          <t>Mis metas SMART</t>
        </is>
      </c>
    </row>
    <row r="3" ht="18" customHeight="1">
      <c r="A3" s="27" t="inlineStr">
        <is>
          <t>De 1 a 3 metas: una grande (tu proyecto ancla) y una o dos de apoyo, todas con número. Ideas en la hoja «Ideas de metas».</t>
        </is>
      </c>
    </row>
    <row r="4" ht="30" customHeight="1">
      <c r="A4" s="28" t="inlineStr">
        <is>
          <t>Meta</t>
        </is>
      </c>
      <c r="B4" s="28" t="inlineStr">
        <is>
          <t>S · Específica</t>
        </is>
      </c>
      <c r="C4" s="28" t="inlineStr">
        <is>
          <t>M · Medible</t>
        </is>
      </c>
      <c r="D4" s="28" t="inlineStr">
        <is>
          <t>A · Alcanzable</t>
        </is>
      </c>
      <c r="E4" s="28" t="inlineStr">
        <is>
          <t>R · Relevante</t>
        </is>
      </c>
      <c r="F4" s="28" t="inlineStr">
        <is>
          <t>Fecha límite</t>
        </is>
      </c>
      <c r="G4" s="28" t="inlineStr">
        <is>
          <t>Área</t>
        </is>
      </c>
      <c r="H4" s="28" t="inlineStr">
        <is>
          <t>Avance</t>
        </is>
      </c>
    </row>
    <row r="5" ht="36" customHeight="1">
      <c r="A5" s="30" t="n"/>
      <c r="B5" s="30" t="n"/>
      <c r="C5" s="30" t="n"/>
      <c r="D5" s="30" t="n"/>
      <c r="E5" s="30" t="n"/>
      <c r="F5" s="34" t="n"/>
      <c r="G5" s="30" t="n"/>
      <c r="H5" s="35" t="n"/>
    </row>
    <row r="6" ht="36" customHeight="1">
      <c r="A6" s="30" t="n"/>
      <c r="B6" s="30" t="n"/>
      <c r="C6" s="30" t="n"/>
      <c r="D6" s="30" t="n"/>
      <c r="E6" s="30" t="n"/>
      <c r="F6" s="34" t="n"/>
      <c r="G6" s="30" t="n"/>
      <c r="H6" s="35" t="n"/>
    </row>
    <row r="7" ht="36" customHeight="1">
      <c r="A7" s="30" t="n"/>
      <c r="B7" s="30" t="n"/>
      <c r="C7" s="30" t="n"/>
      <c r="D7" s="30" t="n"/>
      <c r="E7" s="30" t="n"/>
      <c r="F7" s="34" t="n"/>
      <c r="G7" s="30" t="n"/>
      <c r="H7" s="35" t="n"/>
    </row>
    <row r="8" ht="36" customHeight="1">
      <c r="A8" s="30" t="n"/>
      <c r="B8" s="30" t="n"/>
      <c r="C8" s="30" t="n"/>
      <c r="D8" s="30" t="n"/>
      <c r="E8" s="30" t="n"/>
      <c r="F8" s="34" t="n"/>
      <c r="G8" s="30" t="n"/>
      <c r="H8" s="35" t="n"/>
    </row>
    <row r="9" ht="36" customHeight="1">
      <c r="A9" s="30" t="n"/>
      <c r="B9" s="30" t="n"/>
      <c r="C9" s="30" t="n"/>
      <c r="D9" s="30" t="n"/>
      <c r="E9" s="30" t="n"/>
      <c r="F9" s="34" t="n"/>
      <c r="G9" s="30" t="n"/>
      <c r="H9" s="35" t="n"/>
    </row>
  </sheetData>
  <dataValidations count="3">
    <dataValidation sqref="G5:G300" showDropDown="0" showInputMessage="0" showErrorMessage="0" allowBlank="1" type="list">
      <formula1>"Criterio multi-modelo,Contexto y conocimiento,Agentes y automatización,Evaluación y calidad,Datos y análisis,Impacto de negocio,Adopción y riesgo,Habilidades de mentoría"</formula1>
    </dataValidation>
    <dataValidation sqref="F5:F300" showDropDown="0" showInputMessage="0" showErrorMessage="0" allowBlank="1" type="date" operator="greaterThan">
      <formula1>DATE(2020,1,1)</formula1>
    </dataValidation>
    <dataValidation sqref="H5:H300" showDropDown="0" showInputMessage="0" showErrorMessage="0" allowBlank="1" error="Escribe un porcentaje entre 0% y 100%." type="decimal" operator="between">
      <formula1>0</formula1>
      <formula2>1</formula2>
    </dataValidation>
  </dataValidations>
  <hyperlinks>
    <hyperlink ref="A1" location="'Mi cabina'!A1" display="LO LLENAS TÚ   ·   ← Mi cabina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E9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34" customWidth="1" min="4" max="4"/>
    <col width="10" customWidth="1" min="5" max="5"/>
  </cols>
  <sheetData>
    <row r="1" ht="18" customHeight="1">
      <c r="A1" s="1" t="inlineStr">
        <is>
          <t>LO LLENAS TÚ   ·   ← Mi cabina</t>
        </is>
      </c>
    </row>
    <row r="2" ht="30" customHeight="1">
      <c r="A2" s="26" t="inlineStr">
        <is>
          <t>Mis compromisos entre sesiones</t>
        </is>
      </c>
    </row>
    <row r="3" ht="18" customHeight="1">
      <c r="A3" s="27" t="inlineStr">
        <is>
          <t>Lo que te comprometes a hacer antes de la siguiente sesión, con fecha. Actualiza el Estado.</t>
        </is>
      </c>
    </row>
    <row r="4" ht="30" customHeight="1">
      <c r="A4" s="28" t="inlineStr">
        <is>
          <t>Compromiso</t>
        </is>
      </c>
      <c r="B4" s="28" t="inlineStr">
        <is>
          <t>Para el</t>
        </is>
      </c>
      <c r="C4" s="28" t="inlineStr">
        <is>
          <t>Estado</t>
        </is>
      </c>
      <c r="D4" s="28" t="inlineStr">
        <is>
          <t>Meta relacionada</t>
        </is>
      </c>
      <c r="E4" s="28" t="inlineStr">
        <is>
          <t>Sesión</t>
        </is>
      </c>
    </row>
    <row r="5">
      <c r="A5" s="30" t="n"/>
      <c r="B5" s="34" t="n"/>
      <c r="C5" s="29" t="n"/>
      <c r="D5" s="30" t="n"/>
      <c r="E5" s="29" t="n"/>
    </row>
    <row r="6">
      <c r="A6" s="30" t="n"/>
      <c r="B6" s="34" t="n"/>
      <c r="C6" s="29" t="n"/>
      <c r="D6" s="30" t="n"/>
      <c r="E6" s="29" t="n"/>
    </row>
    <row r="7">
      <c r="A7" s="30" t="n"/>
      <c r="B7" s="34" t="n"/>
      <c r="C7" s="29" t="n"/>
      <c r="D7" s="30" t="n"/>
      <c r="E7" s="29" t="n"/>
    </row>
    <row r="8">
      <c r="A8" s="30" t="n"/>
      <c r="B8" s="34" t="n"/>
      <c r="C8" s="29" t="n"/>
      <c r="D8" s="30" t="n"/>
      <c r="E8" s="29" t="n"/>
    </row>
    <row r="9">
      <c r="A9" s="30" t="n"/>
      <c r="B9" s="34" t="n"/>
      <c r="C9" s="29" t="n"/>
      <c r="D9" s="30" t="n"/>
      <c r="E9" s="29" t="n"/>
    </row>
  </sheetData>
  <conditionalFormatting sqref="A5:E300">
    <cfRule type="expression" priority="1" dxfId="0">
      <formula>$C5="Hecho"</formula>
    </cfRule>
  </conditionalFormatting>
  <dataValidations count="2">
    <dataValidation sqref="C5:C300" showDropDown="0" showInputMessage="0" showErrorMessage="0" allowBlank="1" type="list">
      <formula1>"Pendiente,En proceso,Hecho"</formula1>
    </dataValidation>
    <dataValidation sqref="B5:B300" showDropDown="0" showInputMessage="0" showErrorMessage="0" allowBlank="1" type="date" operator="greaterThan">
      <formula1>DATE(2020,1,1)</formula1>
    </dataValidation>
  </dataValidations>
  <hyperlinks>
    <hyperlink ref="A1" location="'Mi cabina'!A1" display="LO LLENAS TÚ   ·   ← Mi cabina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563EB"/>
    <outlinePr summaryBelow="1" summaryRight="1"/>
    <pageSetUpPr/>
  </sheetPr>
  <dimension ref="A1:D9"/>
  <sheetViews>
    <sheetView showGridLines="0" tabSelected="0" workbookViewId="0">
      <selection activeCell="A1" sqref="A1"/>
    </sheetView>
  </sheetViews>
  <sheetFormatPr baseColWidth="8" defaultRowHeight="15"/>
  <cols>
    <col width="13" customWidth="1" min="1" max="1"/>
    <col width="70" customWidth="1" min="2" max="2"/>
    <col width="44" customWidth="1" min="3" max="3"/>
    <col width="36" customWidth="1" min="4" max="4"/>
  </cols>
  <sheetData>
    <row r="1" ht="18" customHeight="1">
      <c r="A1" s="1" t="inlineStr">
        <is>
          <t>LO LLENAS TÚ   ·   ← Mi cabina</t>
        </is>
      </c>
    </row>
    <row r="2" ht="30" customHeight="1">
      <c r="A2" s="26" t="inlineStr">
        <is>
          <t>Mis avances</t>
        </is>
      </c>
    </row>
    <row r="3" ht="18" customHeight="1">
      <c r="A3" s="27" t="inlineStr">
        <is>
          <t>Lo que hiciste entre sesiones: qué construiste, qué mediste, qué te atoró. Le llega a Valeria cuando importa tu archivo.</t>
        </is>
      </c>
    </row>
    <row r="4" ht="30" customHeight="1">
      <c r="A4" s="28" t="inlineStr">
        <is>
          <t>Fecha</t>
        </is>
      </c>
      <c r="B4" s="28" t="inlineStr">
        <is>
          <t>Qué hice</t>
        </is>
      </c>
      <c r="C4" s="28" t="inlineStr">
        <is>
          <t>Qué necesito</t>
        </is>
      </c>
      <c r="D4" s="28" t="inlineStr">
        <is>
          <t>Liga</t>
        </is>
      </c>
    </row>
    <row r="5" ht="36" customHeight="1">
      <c r="A5" s="34" t="n"/>
      <c r="B5" s="30" t="n"/>
      <c r="C5" s="30" t="n"/>
      <c r="D5" s="30" t="n"/>
    </row>
    <row r="6" ht="36" customHeight="1">
      <c r="A6" s="34" t="n"/>
      <c r="B6" s="30" t="n"/>
      <c r="C6" s="30" t="n"/>
      <c r="D6" s="30" t="n"/>
    </row>
    <row r="7" ht="36" customHeight="1">
      <c r="A7" s="34" t="n"/>
      <c r="B7" s="30" t="n"/>
      <c r="C7" s="30" t="n"/>
      <c r="D7" s="30" t="n"/>
    </row>
    <row r="8" ht="36" customHeight="1">
      <c r="A8" s="34" t="n"/>
      <c r="B8" s="30" t="n"/>
      <c r="C8" s="30" t="n"/>
      <c r="D8" s="30" t="n"/>
    </row>
    <row r="9" ht="36" customHeight="1">
      <c r="A9" s="34" t="n"/>
      <c r="B9" s="30" t="n"/>
      <c r="C9" s="30" t="n"/>
      <c r="D9" s="30" t="n"/>
    </row>
  </sheetData>
  <dataValidations count="1">
    <dataValidation sqref="A5:A300" showDropDown="0" showInputMessage="0" showErrorMessage="0" allowBlank="1" type="date" operator="greaterThan">
      <formula1>DATE(2020,1,1)</formula1>
    </dataValidation>
  </dataValidations>
  <hyperlinks>
    <hyperlink ref="A1" location="'Mi cabina'!A1" display="LO LLENAS TÚ   ·   ← Mi cabina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563EB"/>
    <outlinePr summaryBelow="1" summaryRight="1"/>
    <pageSetUpPr/>
  </sheetPr>
  <dimension ref="A1:B5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18" customHeight="1">
      <c r="A1" s="1" t="inlineStr">
        <is>
          <t>LO LLENAS TÚ   ·   ← Mi cabina</t>
        </is>
      </c>
    </row>
    <row r="2" ht="30" customHeight="1">
      <c r="A2" s="26" t="inlineStr">
        <is>
          <t>Acuerdo de mentoría</t>
        </is>
      </c>
    </row>
    <row r="3" ht="18" customHeight="1">
      <c r="A3" s="27" t="inlineStr">
        <is>
          <t>El acuerdo lo llenamos juntos en la sesión 1. Aquí marcas si estás de acuerdo y la fecha.</t>
        </is>
      </c>
    </row>
    <row r="4" ht="30" customHeight="1">
      <c r="A4" s="28" t="inlineStr">
        <is>
          <t>De acuerdo</t>
        </is>
      </c>
      <c r="B4" s="28" t="inlineStr">
        <is>
          <t>Fecha</t>
        </is>
      </c>
    </row>
    <row r="5">
      <c r="A5" s="29" t="n"/>
      <c r="B5" s="34" t="n"/>
    </row>
  </sheetData>
  <conditionalFormatting sqref="A5:B5">
    <cfRule type="expression" priority="1" dxfId="0">
      <formula>$A5="Sí"</formula>
    </cfRule>
  </conditionalFormatting>
  <dataValidations count="2">
    <dataValidation sqref="A5" showDropDown="0" showInputMessage="0" showErrorMessage="0" allowBlank="1" type="list">
      <formula1>"Sí,No"</formula1>
    </dataValidation>
    <dataValidation sqref="B5" showDropDown="0" showInputMessage="0" showErrorMessage="0" allowBlank="1" type="date" operator="greaterThan">
      <formula1>DATE(2020,1,1)</formula1>
    </dataValidation>
  </dataValidations>
  <hyperlinks>
    <hyperlink ref="A1" location="'Mi cabina'!A1" display="LO LLENAS TÚ   ·   ← Mi cabina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60A5FA"/>
    <outlinePr summaryBelow="1" summaryRight="1"/>
    <pageSetUpPr/>
  </sheetPr>
  <dimension ref="A1:D11"/>
  <sheetViews>
    <sheetView showGridLines="0" tabSelected="0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26" customWidth="1" min="4" max="4"/>
  </cols>
  <sheetData>
    <row r="1" ht="18" customHeight="1">
      <c r="A1" s="1" t="inlineStr">
        <is>
          <t>PARA CONSULTAR   ·   ← Mi cabina</t>
        </is>
      </c>
    </row>
    <row r="2" ht="30" customHeight="1">
      <c r="A2" s="26" t="inlineStr">
        <is>
          <t>Ideas para tus metas</t>
        </is>
      </c>
    </row>
    <row r="3" ht="18" customHeight="1">
      <c r="A3" s="27" t="inlineStr">
        <is>
          <t>Para inspirarte: adáptalas y escríbelas en «Mis metas» con tus propios números.</t>
        </is>
      </c>
    </row>
    <row r="4" ht="30" customHeight="1">
      <c r="A4" s="28" t="inlineStr">
        <is>
          <t>Meta</t>
        </is>
      </c>
      <c r="B4" s="28" t="inlineStr">
        <is>
          <t>M · Medible</t>
        </is>
      </c>
      <c r="C4" s="28" t="inlineStr">
        <is>
          <t>Plazo (días)</t>
        </is>
      </c>
      <c r="D4" s="28" t="inlineStr">
        <is>
          <t>Área</t>
        </is>
      </c>
    </row>
    <row r="5" ht="40" customHeight="1">
      <c r="A5" s="30" t="inlineStr">
        <is>
          <t>Proyecto ancla: construir un asistente o agente que resuelva un flujo completo de mi área</t>
        </is>
      </c>
      <c r="B5" s="30" t="inlineStr">
        <is>
          <t>Demo funcionando en la sesión 6, usada por al menos 2 compañeros y con horas ahorradas medidas</t>
        </is>
      </c>
      <c r="C5" s="29" t="n">
        <v>120</v>
      </c>
      <c r="D5" s="30" t="inlineStr">
        <is>
          <t>Agentes y automatización</t>
        </is>
      </c>
    </row>
    <row r="6" ht="40" customHeight="1">
      <c r="A6" s="30" t="inlineStr">
        <is>
          <t>Medir la calidad de mi mejor GPT con 20 casos de prueba</t>
        </is>
      </c>
      <c r="B6" s="30" t="inlineStr">
        <is>
          <t>Tasa de acierto medida antes y después de mejorarlo (meta: +20 puntos)</t>
        </is>
      </c>
      <c r="C6" s="29" t="n">
        <v>45</v>
      </c>
      <c r="D6" s="30" t="inlineStr">
        <is>
          <t>Evaluación y calidad</t>
        </is>
      </c>
    </row>
    <row r="7" ht="40" customHeight="1">
      <c r="A7" s="30" t="inlineStr">
        <is>
          <t>Comparar ChatGPT, Claude y Gemini en mis 5 tareas más importantes</t>
        </is>
      </c>
      <c r="B7" s="30" t="inlineStr">
        <is>
          <t>Tabla con ganador por tarea y por qué, y un cambio de herramienta en al menos una tarea</t>
        </is>
      </c>
      <c r="C7" s="29" t="n">
        <v>30</v>
      </c>
      <c r="D7" s="30" t="inlineStr">
        <is>
          <t>Criterio multi-modelo</t>
        </is>
      </c>
    </row>
    <row r="8" ht="40" customHeight="1">
      <c r="A8" s="30" t="inlineStr">
        <is>
          <t>Armar un GPT o Project con el conocimiento de mi área que responda citando la fuente</t>
        </is>
      </c>
      <c r="B8" s="30" t="inlineStr">
        <is>
          <t>Responde bien 8 de 10 preguntas reales y siempre cita la fuente</t>
        </is>
      </c>
      <c r="C8" s="29" t="n">
        <v>45</v>
      </c>
      <c r="D8" s="30" t="inlineStr">
        <is>
          <t>Contexto y conocimiento</t>
        </is>
      </c>
    </row>
    <row r="9" ht="40" customHeight="1">
      <c r="A9" s="30" t="inlineStr">
        <is>
          <t>Presentar a mi jefe un caso de negocio de IA con el ROI medido</t>
        </is>
      </c>
      <c r="B9" s="30" t="inlineStr">
        <is>
          <t>Presentado con números reales y con una decisión: escalar, ajustar o parar</t>
        </is>
      </c>
      <c r="C9" s="29" t="n">
        <v>90</v>
      </c>
      <c r="D9" s="30" t="inlineStr">
        <is>
          <t>Impacto de negocio</t>
        </is>
      </c>
    </row>
    <row r="10" ht="40" customHeight="1">
      <c r="A10" s="30" t="inlineStr">
        <is>
          <t>Analizar con IA y código un archivo real y sacar 3 hallazgos verificados</t>
        </is>
      </c>
      <c r="B10" s="30" t="inlineStr">
        <is>
          <t>3 hallazgos verificados contra la fuente y una gráfica que se entienda sola</t>
        </is>
      </c>
      <c r="C10" s="29" t="n">
        <v>45</v>
      </c>
      <c r="D10" s="30" t="inlineStr">
        <is>
          <t>Datos y análisis</t>
        </is>
      </c>
    </row>
    <row r="11" ht="40" customHeight="1">
      <c r="A11" s="30" t="inlineStr">
        <is>
          <t>Llevar la IA a mi equipo: taller de 30 minutos y reglas de uso</t>
        </is>
      </c>
      <c r="B11" s="30" t="inlineStr">
        <is>
          <t>Taller dado, reglas de una página aprobadas y 3 compañeros usándolo</t>
        </is>
      </c>
      <c r="C11" s="29" t="n">
        <v>60</v>
      </c>
      <c r="D11" s="30" t="inlineStr">
        <is>
          <t>Adopción y riesgo</t>
        </is>
      </c>
    </row>
  </sheetData>
  <hyperlinks>
    <hyperlink ref="A1" location="'Mi cabina'!A1" display="PARA CONSULTAR   ·   ← Mi cabina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0" workbookViewId="0">
      <selection activeCell="A1" sqref="A1"/>
    </sheetView>
  </sheetViews>
  <sheetFormatPr baseColWidth="8" defaultRowHeight="15"/>
  <sheetData>
    <row r="1" ht="30" customHeight="1">
      <c r="A1" s="28" t="inlineStr">
        <is>
          <t>Clave</t>
        </is>
      </c>
      <c r="B1" s="28" t="inlineStr">
        <is>
          <t>Valor</t>
        </is>
      </c>
    </row>
    <row r="2">
      <c r="A2" s="30" t="inlineStr">
        <is>
          <t>archivo</t>
        </is>
      </c>
      <c r="B2" s="30" t="inlineStr">
        <is>
          <t>mentoria-fernando</t>
        </is>
      </c>
    </row>
    <row r="3">
      <c r="A3" s="30" t="inlineStr">
        <is>
          <t>version</t>
        </is>
      </c>
      <c r="B3" s="30" t="n">
        <v>1</v>
      </c>
    </row>
    <row r="4">
      <c r="A4" s="30" t="inlineStr">
        <is>
          <t>mentee</t>
        </is>
      </c>
      <c r="B4" s="30" t="inlineStr">
        <is>
          <t>Fernando</t>
        </is>
      </c>
    </row>
    <row r="5">
      <c r="A5" s="30" t="inlineStr">
        <is>
          <t>mentor</t>
        </is>
      </c>
      <c r="B5" s="30" t="inlineStr">
        <is>
          <t>Valeria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2026-10-27T01:04:35Z</dcterms:created>
  <dcterms:modified xmlns:dcterms="http://purl.org/dc/terms/" xmlns:xsi="http://www.w3.org/2001/XMLSchema-instance" xsi:type="dcterms:W3CDTF">2026-10-27T01:04:35Z</dcterms:modified>
</cp:coreProperties>
</file>